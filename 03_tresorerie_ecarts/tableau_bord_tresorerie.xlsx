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sorerie" sheetId="1" state="visible" r:id="rId1"/>
    <sheet xmlns:r="http://schemas.openxmlformats.org/officeDocument/2006/relationships" name="Budget_Realis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 &quot;%&quot;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74060"/>
      </patternFill>
    </fill>
    <fill>
      <patternFill patternType="solid">
        <fgColor rgb="00EE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Evolution du solde de tresorerie</a:t>
            </a:r>
          </a:p>
        </rich>
      </tx>
    </title>
    <plotArea>
      <lineChart>
        <grouping val="standard"/>
        <ser>
          <idx val="0"/>
          <order val="0"/>
          <tx>
            <strRef>
              <f>'Tresorerie'!F3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'Tresorerie'!$A$4:$A$15</f>
            </numRef>
          </cat>
          <val>
            <numRef>
              <f>'Tresorerie'!$F$4:$F$15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Solde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Realise par poste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'Budget_Realise'!C3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'Budget_Realise'!$A$4:$A$10</f>
            </numRef>
          </cat>
          <val>
            <numRef>
              <f>'Budget_Realise'!$C$4:$C$10</f>
            </numRef>
          </val>
        </ser>
        <ser>
          <idx val="1"/>
          <order val="1"/>
          <tx>
            <strRef>
              <f>'Budget_Realise'!D3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'Budget_Realise'!$A$4:$A$10</f>
            </numRef>
          </cat>
          <val>
            <numRef>
              <f>'Budget_Realise'!$D$4:$D$10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3" customWidth="1" min="5" max="5"/>
    <col width="14" customWidth="1" min="6" max="6"/>
  </cols>
  <sheetData>
    <row r="1">
      <c r="A1" s="1" t="inlineStr">
        <is>
          <t>Prevision de tresorerie — 12 mois (exemple)</t>
        </is>
      </c>
    </row>
    <row r="3">
      <c r="A3" s="2" t="inlineStr">
        <is>
          <t>Mois</t>
        </is>
      </c>
      <c r="B3" s="2" t="inlineStr">
        <is>
          <t>Solde initial</t>
        </is>
      </c>
      <c r="C3" s="2" t="inlineStr">
        <is>
          <t>Encaissements</t>
        </is>
      </c>
      <c r="D3" s="2" t="inlineStr">
        <is>
          <t>Decaissements</t>
        </is>
      </c>
      <c r="E3" s="2" t="inlineStr">
        <is>
          <t>Flux net</t>
        </is>
      </c>
      <c r="F3" s="2" t="inlineStr">
        <is>
          <t>Solde final</t>
        </is>
      </c>
    </row>
    <row r="4">
      <c r="A4" t="inlineStr">
        <is>
          <t>Janvier</t>
        </is>
      </c>
      <c r="B4" s="3" t="n">
        <v>50000</v>
      </c>
      <c r="C4" s="3" t="n">
        <v>120000</v>
      </c>
      <c r="D4" s="3" t="n">
        <v>110000</v>
      </c>
      <c r="E4" s="3">
        <f>C4-D4</f>
        <v/>
      </c>
      <c r="F4" s="3">
        <f>B4+E4</f>
        <v/>
      </c>
    </row>
    <row r="5">
      <c r="A5" s="4" t="inlineStr">
        <is>
          <t>Fevrier</t>
        </is>
      </c>
      <c r="B5" s="5">
        <f>F4</f>
        <v/>
      </c>
      <c r="C5" s="5" t="n">
        <v>118000</v>
      </c>
      <c r="D5" s="5" t="n">
        <v>115000</v>
      </c>
      <c r="E5" s="5">
        <f>C5-D5</f>
        <v/>
      </c>
      <c r="F5" s="5">
        <f>B5+E5</f>
        <v/>
      </c>
    </row>
    <row r="6">
      <c r="A6" t="inlineStr">
        <is>
          <t>Mars</t>
        </is>
      </c>
      <c r="B6" s="3">
        <f>F5</f>
        <v/>
      </c>
      <c r="C6" s="3" t="n">
        <v>135000</v>
      </c>
      <c r="D6" s="3" t="n">
        <v>120000</v>
      </c>
      <c r="E6" s="3">
        <f>C6-D6</f>
        <v/>
      </c>
      <c r="F6" s="3">
        <f>B6+E6</f>
        <v/>
      </c>
    </row>
    <row r="7">
      <c r="A7" s="4" t="inlineStr">
        <is>
          <t>Avril</t>
        </is>
      </c>
      <c r="B7" s="5">
        <f>F6</f>
        <v/>
      </c>
      <c r="C7" s="5" t="n">
        <v>128000</v>
      </c>
      <c r="D7" s="5" t="n">
        <v>130000</v>
      </c>
      <c r="E7" s="5">
        <f>C7-D7</f>
        <v/>
      </c>
      <c r="F7" s="5">
        <f>B7+E7</f>
        <v/>
      </c>
    </row>
    <row r="8">
      <c r="A8" t="inlineStr">
        <is>
          <t>Mai</t>
        </is>
      </c>
      <c r="B8" s="3">
        <f>F7</f>
        <v/>
      </c>
      <c r="C8" s="3" t="n">
        <v>140000</v>
      </c>
      <c r="D8" s="3" t="n">
        <v>125000</v>
      </c>
      <c r="E8" s="3">
        <f>C8-D8</f>
        <v/>
      </c>
      <c r="F8" s="3">
        <f>B8+E8</f>
        <v/>
      </c>
    </row>
    <row r="9">
      <c r="A9" s="4" t="inlineStr">
        <is>
          <t>Juin</t>
        </is>
      </c>
      <c r="B9" s="5">
        <f>F8</f>
        <v/>
      </c>
      <c r="C9" s="5" t="n">
        <v>150000</v>
      </c>
      <c r="D9" s="5" t="n">
        <v>118000</v>
      </c>
      <c r="E9" s="5">
        <f>C9-D9</f>
        <v/>
      </c>
      <c r="F9" s="5">
        <f>B9+E9</f>
        <v/>
      </c>
    </row>
    <row r="10">
      <c r="A10" t="inlineStr">
        <is>
          <t>Juillet</t>
        </is>
      </c>
      <c r="B10" s="3">
        <f>F9</f>
        <v/>
      </c>
      <c r="C10" s="3" t="n">
        <v>110000</v>
      </c>
      <c r="D10" s="3" t="n">
        <v>122000</v>
      </c>
      <c r="E10" s="3">
        <f>C10-D10</f>
        <v/>
      </c>
      <c r="F10" s="3">
        <f>B10+E10</f>
        <v/>
      </c>
    </row>
    <row r="11">
      <c r="A11" s="4" t="inlineStr">
        <is>
          <t>Aout</t>
        </is>
      </c>
      <c r="B11" s="5">
        <f>F10</f>
        <v/>
      </c>
      <c r="C11" s="5" t="n">
        <v>95000</v>
      </c>
      <c r="D11" s="5" t="n">
        <v>128000</v>
      </c>
      <c r="E11" s="5">
        <f>C11-D11</f>
        <v/>
      </c>
      <c r="F11" s="5">
        <f>B11+E11</f>
        <v/>
      </c>
    </row>
    <row r="12">
      <c r="A12" t="inlineStr">
        <is>
          <t>Septembre</t>
        </is>
      </c>
      <c r="B12" s="3">
        <f>F11</f>
        <v/>
      </c>
      <c r="C12" s="3" t="n">
        <v>138000</v>
      </c>
      <c r="D12" s="3" t="n">
        <v>119000</v>
      </c>
      <c r="E12" s="3">
        <f>C12-D12</f>
        <v/>
      </c>
      <c r="F12" s="3">
        <f>B12+E12</f>
        <v/>
      </c>
    </row>
    <row r="13">
      <c r="A13" s="4" t="inlineStr">
        <is>
          <t>Octobre</t>
        </is>
      </c>
      <c r="B13" s="5">
        <f>F12</f>
        <v/>
      </c>
      <c r="C13" s="5" t="n">
        <v>145000</v>
      </c>
      <c r="D13" s="5" t="n">
        <v>124000</v>
      </c>
      <c r="E13" s="5">
        <f>C13-D13</f>
        <v/>
      </c>
      <c r="F13" s="5">
        <f>B13+E13</f>
        <v/>
      </c>
    </row>
    <row r="14">
      <c r="A14" t="inlineStr">
        <is>
          <t>Novembre</t>
        </is>
      </c>
      <c r="B14" s="3">
        <f>F13</f>
        <v/>
      </c>
      <c r="C14" s="3" t="n">
        <v>152000</v>
      </c>
      <c r="D14" s="3" t="n">
        <v>130000</v>
      </c>
      <c r="E14" s="3">
        <f>C14-D14</f>
        <v/>
      </c>
      <c r="F14" s="3">
        <f>B14+E14</f>
        <v/>
      </c>
    </row>
    <row r="15">
      <c r="A15" s="4" t="inlineStr">
        <is>
          <t>Decembre</t>
        </is>
      </c>
      <c r="B15" s="5">
        <f>F14</f>
        <v/>
      </c>
      <c r="C15" s="5" t="n">
        <v>160000</v>
      </c>
      <c r="D15" s="5" t="n">
        <v>121000</v>
      </c>
      <c r="E15" s="5">
        <f>C15-D15</f>
        <v/>
      </c>
      <c r="F15" s="5">
        <f>B15+E15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>
      <c r="A1" s="1" t="inlineStr">
        <is>
          <t>Analyse d'ecarts — Budget vs Realise (exemple)</t>
        </is>
      </c>
    </row>
    <row r="3">
      <c r="A3" s="2" t="inlineStr">
        <is>
          <t>Poste</t>
        </is>
      </c>
      <c r="B3" s="2" t="inlineStr">
        <is>
          <t>Type</t>
        </is>
      </c>
      <c r="C3" s="2" t="inlineStr">
        <is>
          <t>Budget</t>
        </is>
      </c>
      <c r="D3" s="2" t="inlineStr">
        <is>
          <t>Realise</t>
        </is>
      </c>
      <c r="E3" s="2" t="inlineStr">
        <is>
          <t>Ecart (€)</t>
        </is>
      </c>
      <c r="F3" s="2" t="inlineStr">
        <is>
          <t>Ecart (%)</t>
        </is>
      </c>
      <c r="G3" s="2" t="inlineStr">
        <is>
          <t>Statut</t>
        </is>
      </c>
    </row>
    <row r="4">
      <c r="A4" t="inlineStr">
        <is>
          <t>Chiffre d'affaires</t>
        </is>
      </c>
      <c r="B4" t="inlineStr">
        <is>
          <t>Produit</t>
        </is>
      </c>
      <c r="C4" s="3" t="n">
        <v>1500000</v>
      </c>
      <c r="D4" s="3" t="n">
        <v>1575000</v>
      </c>
      <c r="E4" s="3">
        <f>D4-C4</f>
        <v/>
      </c>
      <c r="F4" s="6">
        <f>IF(C4=0,0,(D4-C4)/C4*100)</f>
        <v/>
      </c>
      <c r="G4">
        <f>IF(B4="Produit",IF(D4&gt;=C4,"Favorable","Defavorable"),IF(D4&lt;=C4,"Favorable","Defavorable"))</f>
        <v/>
      </c>
    </row>
    <row r="5">
      <c r="A5" s="4" t="inlineStr">
        <is>
          <t>Autres produits</t>
        </is>
      </c>
      <c r="B5" s="4" t="inlineStr">
        <is>
          <t>Produit</t>
        </is>
      </c>
      <c r="C5" s="5" t="n">
        <v>60000</v>
      </c>
      <c r="D5" s="5" t="n">
        <v>52000</v>
      </c>
      <c r="E5" s="5">
        <f>D5-C5</f>
        <v/>
      </c>
      <c r="F5" s="7">
        <f>IF(C5=0,0,(D5-C5)/C5*100)</f>
        <v/>
      </c>
      <c r="G5" s="4">
        <f>IF(B5="Produit",IF(D5&gt;=C5,"Favorable","Defavorable"),IF(D5&lt;=C5,"Favorable","Defavorable"))</f>
        <v/>
      </c>
    </row>
    <row r="6">
      <c r="A6" t="inlineStr">
        <is>
          <t>Achats</t>
        </is>
      </c>
      <c r="B6" t="inlineStr">
        <is>
          <t>Charge</t>
        </is>
      </c>
      <c r="C6" s="3" t="n">
        <v>620000</v>
      </c>
      <c r="D6" s="3" t="n">
        <v>655000</v>
      </c>
      <c r="E6" s="3">
        <f>D6-C6</f>
        <v/>
      </c>
      <c r="F6" s="6">
        <f>IF(C6=0,0,(D6-C6)/C6*100)</f>
        <v/>
      </c>
      <c r="G6">
        <f>IF(B6="Produit",IF(D6&gt;=C6,"Favorable","Defavorable"),IF(D6&lt;=C6,"Favorable","Defavorable"))</f>
        <v/>
      </c>
    </row>
    <row r="7">
      <c r="A7" s="4" t="inlineStr">
        <is>
          <t>Masse salariale</t>
        </is>
      </c>
      <c r="B7" s="4" t="inlineStr">
        <is>
          <t>Charge</t>
        </is>
      </c>
      <c r="C7" s="5" t="n">
        <v>480000</v>
      </c>
      <c r="D7" s="5" t="n">
        <v>472000</v>
      </c>
      <c r="E7" s="5">
        <f>D7-C7</f>
        <v/>
      </c>
      <c r="F7" s="7">
        <f>IF(C7=0,0,(D7-C7)/C7*100)</f>
        <v/>
      </c>
      <c r="G7" s="4">
        <f>IF(B7="Produit",IF(D7&gt;=C7,"Favorable","Defavorable"),IF(D7&lt;=C7,"Favorable","Defavorable"))</f>
        <v/>
      </c>
    </row>
    <row r="8">
      <c r="A8" t="inlineStr">
        <is>
          <t>Charges externes</t>
        </is>
      </c>
      <c r="B8" t="inlineStr">
        <is>
          <t>Charge</t>
        </is>
      </c>
      <c r="C8" s="3" t="n">
        <v>180000</v>
      </c>
      <c r="D8" s="3" t="n">
        <v>176000</v>
      </c>
      <c r="E8" s="3">
        <f>D8-C8</f>
        <v/>
      </c>
      <c r="F8" s="6">
        <f>IF(C8=0,0,(D8-C8)/C8*100)</f>
        <v/>
      </c>
      <c r="G8">
        <f>IF(B8="Produit",IF(D8&gt;=C8,"Favorable","Defavorable"),IF(D8&lt;=C8,"Favorable","Defavorable"))</f>
        <v/>
      </c>
    </row>
    <row r="9">
      <c r="A9" s="4" t="inlineStr">
        <is>
          <t>Marketing</t>
        </is>
      </c>
      <c r="B9" s="4" t="inlineStr">
        <is>
          <t>Charge</t>
        </is>
      </c>
      <c r="C9" s="5" t="n">
        <v>90000</v>
      </c>
      <c r="D9" s="5" t="n">
        <v>105000</v>
      </c>
      <c r="E9" s="5">
        <f>D9-C9</f>
        <v/>
      </c>
      <c r="F9" s="7">
        <f>IF(C9=0,0,(D9-C9)/C9*100)</f>
        <v/>
      </c>
      <c r="G9" s="4">
        <f>IF(B9="Produit",IF(D9&gt;=C9,"Favorable","Defavorable"),IF(D9&lt;=C9,"Favorable","Defavorable"))</f>
        <v/>
      </c>
    </row>
    <row r="10">
      <c r="A10" t="inlineStr">
        <is>
          <t>Amortissements</t>
        </is>
      </c>
      <c r="B10" t="inlineStr">
        <is>
          <t>Charge</t>
        </is>
      </c>
      <c r="C10" s="3" t="n">
        <v>70000</v>
      </c>
      <c r="D10" s="3" t="n">
        <v>70000</v>
      </c>
      <c r="E10" s="3">
        <f>D10-C10</f>
        <v/>
      </c>
      <c r="F10" s="6">
        <f>IF(C10=0,0,(D10-C10)/C10*100)</f>
        <v/>
      </c>
      <c r="G10">
        <f>IF(B10="Produit",IF(D10&gt;=C10,"Favorable","Defavorable"),IF(D10&lt;=C10,"Favorable","Defavorable"))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de bord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2026-08-25T03:27:56Z</dcterms:created>
  <dcterms:modified xmlns:dcterms="http://purl.org/dc/terms/" xmlns:xsi="http://www.w3.org/2001/XMLSchema-instance" xsi:type="dcterms:W3CDTF">2026-08-25T03:27:56Z</dcterms:modified>
</cp:coreProperties>
</file>